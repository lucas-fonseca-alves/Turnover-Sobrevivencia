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UnB\Análise de Sobrevivência\Turnover-Sobrevivencia\arquivos\"/>
    </mc:Choice>
  </mc:AlternateContent>
  <xr:revisionPtr revIDLastSave="0" documentId="13_ncr:1_{730ED390-EA95-4AA8-A359-872E50A960A4}" xr6:coauthVersionLast="47" xr6:coauthVersionMax="47" xr10:uidLastSave="{00000000-0000-0000-0000-000000000000}"/>
  <bookViews>
    <workbookView xWindow="-120" yWindow="-120" windowWidth="20730" windowHeight="11040" firstSheet="3" activeTab="9" xr2:uid="{4990E75E-E9B6-48C4-892A-4CD4323C3EFF}"/>
  </bookViews>
  <sheets>
    <sheet name="Rank Medidas" sheetId="1" r:id="rId1"/>
    <sheet name="Log Normal" sheetId="2" r:id="rId2"/>
    <sheet name="Weibull" sheetId="3" r:id="rId3"/>
    <sheet name="Exponencial" sheetId="4" r:id="rId4"/>
    <sheet name="Log Logistica" sheetId="5" r:id="rId5"/>
    <sheet name="Extremo Padrão" sheetId="6" r:id="rId6"/>
    <sheet name="Extremo" sheetId="7" r:id="rId7"/>
    <sheet name="Gaussiana" sheetId="8" r:id="rId8"/>
    <sheet name="logística" sheetId="9" r:id="rId9"/>
    <sheet name="Planilha1" sheetId="10" r:id="rId10"/>
  </sheets>
  <definedNames>
    <definedName name="_xlnm._FilterDatabase" localSheetId="3" hidden="1">Exponencial!$A$1:$E$15</definedName>
    <definedName name="_xlnm._FilterDatabase" localSheetId="5" hidden="1">'Extremo Padrão'!$A$1:$F$15</definedName>
    <definedName name="_xlnm._FilterDatabase" localSheetId="7" hidden="1">Gaussiana!$A$1:$F$15</definedName>
    <definedName name="_xlnm._FilterDatabase" localSheetId="4" hidden="1">'Log Logistica'!$A$1:$E$15</definedName>
    <definedName name="_xlnm._FilterDatabase" localSheetId="0" hidden="1">'Rank Medidas'!$A$1:$C$5</definedName>
    <definedName name="_xlnm._FilterDatabase" localSheetId="2" hidden="1">Weibull!$A$1:$E$15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/>
  <c r="R4" i="10"/>
  <c r="R5" i="10"/>
  <c r="R6" i="10"/>
  <c r="R7" i="10"/>
  <c r="R8" i="10"/>
  <c r="R9" i="10"/>
  <c r="R2" i="10"/>
  <c r="Q3" i="10"/>
  <c r="Q4" i="10"/>
  <c r="Q5" i="10"/>
  <c r="Q6" i="10"/>
  <c r="Q7" i="10"/>
  <c r="Q8" i="10"/>
  <c r="Q9" i="10"/>
  <c r="Q2" i="10"/>
  <c r="P2" i="10"/>
  <c r="P3" i="10"/>
  <c r="P4" i="10"/>
  <c r="P5" i="10"/>
  <c r="P6" i="10"/>
  <c r="P7" i="10"/>
  <c r="P8" i="10"/>
  <c r="P9" i="10"/>
  <c r="O3" i="10"/>
  <c r="O4" i="10"/>
  <c r="O5" i="10"/>
  <c r="O6" i="10"/>
  <c r="O7" i="10"/>
  <c r="O8" i="10"/>
  <c r="O9" i="10"/>
  <c r="O2" i="10"/>
  <c r="N2" i="10"/>
  <c r="N3" i="10"/>
  <c r="N4" i="10"/>
  <c r="N5" i="10"/>
  <c r="N6" i="10"/>
  <c r="N7" i="10"/>
  <c r="N8" i="10"/>
  <c r="N9" i="10"/>
  <c r="M3" i="10"/>
  <c r="M4" i="10"/>
  <c r="M5" i="10"/>
  <c r="M6" i="10"/>
  <c r="M7" i="10"/>
  <c r="M8" i="10"/>
  <c r="M9" i="10"/>
  <c r="M2" i="10"/>
  <c r="L3" i="10"/>
  <c r="L4" i="10"/>
  <c r="L5" i="10"/>
  <c r="L6" i="10"/>
  <c r="L7" i="10"/>
  <c r="L8" i="10"/>
  <c r="L9" i="10"/>
  <c r="L2" i="10"/>
  <c r="K3" i="10"/>
  <c r="K4" i="10"/>
  <c r="K5" i="10"/>
  <c r="K6" i="10"/>
  <c r="K7" i="10"/>
  <c r="K8" i="10"/>
  <c r="K9" i="10"/>
  <c r="K2" i="10"/>
  <c r="F14" i="9"/>
  <c r="F13" i="9"/>
  <c r="F10" i="9"/>
  <c r="F9" i="9"/>
  <c r="F7" i="9"/>
  <c r="F6" i="9"/>
  <c r="F5" i="9"/>
  <c r="F4" i="9"/>
  <c r="F3" i="9"/>
  <c r="F7" i="8"/>
  <c r="F14" i="8"/>
  <c r="F13" i="8"/>
  <c r="F10" i="8"/>
  <c r="F9" i="8"/>
  <c r="F6" i="8"/>
  <c r="F5" i="8"/>
  <c r="F4" i="8"/>
  <c r="F3" i="8"/>
  <c r="F14" i="7"/>
  <c r="F13" i="7"/>
  <c r="F10" i="7"/>
  <c r="F9" i="7"/>
  <c r="F6" i="7"/>
  <c r="F5" i="7"/>
  <c r="F4" i="7"/>
  <c r="F3" i="7"/>
  <c r="F10" i="6"/>
  <c r="F14" i="6"/>
  <c r="F13" i="6"/>
  <c r="F9" i="6"/>
  <c r="F6" i="6"/>
  <c r="F5" i="6"/>
  <c r="F4" i="6"/>
  <c r="F3" i="6"/>
  <c r="F14" i="5"/>
  <c r="F13" i="5"/>
  <c r="F9" i="5"/>
  <c r="F6" i="5"/>
  <c r="F5" i="5"/>
  <c r="F4" i="5"/>
  <c r="F3" i="5"/>
  <c r="F14" i="4"/>
  <c r="F13" i="4"/>
  <c r="F10" i="4"/>
  <c r="F9" i="4"/>
  <c r="F6" i="4"/>
  <c r="F4" i="4"/>
  <c r="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15662A07-AB6E-4B4C-A0B3-49E9F4158274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E58C2B39-9C71-47A4-A77C-CA19DE5D4795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552187E8-1FD8-41EF-AB58-C8010B775DA0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987A96D8-5352-4A82-81E6-2DEEFAD30C62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D810FB30-9F03-4438-B2E7-1147F8B53865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</author>
  </authors>
  <commentList>
    <comment ref="C1" authorId="0" shapeId="0" xr:uid="{E95D98EC-1D74-4870-BB3C-23104D131097}">
      <text>
        <r>
          <rPr>
            <b/>
            <sz val="9"/>
            <color indexed="81"/>
            <rFont val="Segoe UI"/>
            <family val="2"/>
          </rPr>
          <t>Lucas:</t>
        </r>
        <r>
          <rPr>
            <sz val="9"/>
            <color indexed="81"/>
            <rFont val="Segoe UI"/>
            <family val="2"/>
          </rPr>
          <t xml:space="preserve">
Os métodos chegam no mesmo modelo.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<sst xmlns="http://schemas.openxmlformats.org/spreadsheetml/2006/main" count="375" uniqueCount="41">
  <si>
    <t>Exponencial</t>
  </si>
  <si>
    <t>Weibull</t>
  </si>
  <si>
    <t>Lognormal</t>
  </si>
  <si>
    <t>loglogistic</t>
  </si>
  <si>
    <t>Distribuição</t>
  </si>
  <si>
    <t>AIC</t>
  </si>
  <si>
    <t>BIC</t>
  </si>
  <si>
    <t>novator</t>
  </si>
  <si>
    <t>Variáveis Explicativas</t>
  </si>
  <si>
    <t xml:space="preserve">gender  </t>
  </si>
  <si>
    <t xml:space="preserve">age  </t>
  </si>
  <si>
    <t xml:space="preserve">industry  </t>
  </si>
  <si>
    <t xml:space="preserve">profession  </t>
  </si>
  <si>
    <t xml:space="preserve">traffic  </t>
  </si>
  <si>
    <t xml:space="preserve">coach  </t>
  </si>
  <si>
    <t xml:space="preserve">head_gender  </t>
  </si>
  <si>
    <t xml:space="preserve">greywage  </t>
  </si>
  <si>
    <t xml:space="preserve">way  </t>
  </si>
  <si>
    <t xml:space="preserve">extraversion  </t>
  </si>
  <si>
    <t xml:space="preserve">independ  </t>
  </si>
  <si>
    <t xml:space="preserve">selfcontrol  </t>
  </si>
  <si>
    <t xml:space="preserve">anxiety  </t>
  </si>
  <si>
    <t>Entrou no Modelo Final</t>
  </si>
  <si>
    <t>Sim</t>
  </si>
  <si>
    <t>Backward</t>
  </si>
  <si>
    <t>Forward</t>
  </si>
  <si>
    <t>Both</t>
  </si>
  <si>
    <t>Extremo Padrão</t>
  </si>
  <si>
    <t>Extremo</t>
  </si>
  <si>
    <t>Normal</t>
  </si>
  <si>
    <t>Logística</t>
  </si>
  <si>
    <t>Com 7 variáveis</t>
  </si>
  <si>
    <t>Com 8 variáveis</t>
  </si>
  <si>
    <t>Gender</t>
  </si>
  <si>
    <t>Industry</t>
  </si>
  <si>
    <t>Profession</t>
  </si>
  <si>
    <t>Traffic</t>
  </si>
  <si>
    <t>Coach</t>
  </si>
  <si>
    <t>Head_Gender</t>
  </si>
  <si>
    <t>Greywage</t>
  </si>
  <si>
    <t>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</si>
</sst>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2" formatCode="0.0000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rgb="FF000000"/>
      <name val="Lucida Console"/>
      <family val="3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64" fontId="0" fillId="2" borderId="0" xfId="0" applyNumberFormat="1" applyFill="1"/>
    <xf numFmtId="0" fontId="0" fillId="0" borderId="0" xfId="0" applyFont="1"/>
    <xf numFmtId="0" fontId="0" fillId="2" borderId="0" xfId="0" applyFill="1"/>
    <xf numFmtId="0" fontId="4" fillId="0" borderId="0" xfId="0" applyFont="1" applyAlignment="1">
      <alignment vertical="center"/>
    </xf>
    <xf numFmtId="0" fontId="0" fillId="3" borderId="0" xfId="0" applyFill="1"/>
    <xf numFmtId="164" fontId="0" fillId="3" borderId="0" xfId="0" applyNumberFormat="1" applyFill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172" fontId="7" fillId="0" borderId="1" xfId="0" applyNumberFormat="1" applyFont="1" applyBorder="1" applyAlignment="1">
      <alignment horizontal="left"/>
    </xf>
    <xf numFmtId="172" fontId="8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9523</xdr:colOff>
      <xdr:row>0</xdr:row>
      <xdr:rowOff>28576</xdr:rowOff>
    </xdr:from>
    <xdr:to>
      <xdr:col>9</xdr:col>
      <xdr:colOff>600074</xdr:colOff>
      <xdr:row>16</xdr:row>
      <xdr:rowOff>180402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F2D009C-15CB-F3DD-F91E-7BA807F6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3" y="28576"/>
          <a:ext cx="4248151" cy="3199826"/>
        </a:xfrm>
        <a:prstGeom prst="rect">
          <a:avLst/>
        </a:prstGeom>
      </xdr:spPr>
    </xdr:pic>
    <xdr:clientData/>
  </xdr:twoCellAnchor>
  <xdr:twoCellAnchor editAs="oneCell">
    <xdr:from>
      <xdr:col>11</xdr:col>
      <xdr:colOff>8858</xdr:colOff>
      <xdr:row>0</xdr:row>
      <xdr:rowOff>0</xdr:rowOff>
    </xdr:from>
    <xdr:to>
      <xdr:col>18</xdr:col>
      <xdr:colOff>53797</xdr:colOff>
      <xdr:row>17</xdr:row>
      <xdr:rowOff>9524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CA064A4-C9DB-155B-0319-AD688E1F4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5608" y="0"/>
          <a:ext cx="4312139" cy="32480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378600</xdr:colOff>
      <xdr:row>0</xdr:row>
      <xdr:rowOff>0</xdr:rowOff>
    </xdr:from>
    <xdr:to>
      <xdr:col>19</xdr:col>
      <xdr:colOff>359400</xdr:colOff>
      <xdr:row>16</xdr:row>
      <xdr:rowOff>138000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6E51E1D-288D-E00A-72EF-A218329D2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0100" y="0"/>
          <a:ext cx="4248000" cy="31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0</xdr:row>
      <xdr:rowOff>0</xdr:rowOff>
    </xdr:from>
    <xdr:to>
      <xdr:col>12</xdr:col>
      <xdr:colOff>180975</xdr:colOff>
      <xdr:row>16</xdr:row>
      <xdr:rowOff>152400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921D47E-A12E-C76F-5C1D-9F4DB1510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0"/>
          <a:ext cx="4267200" cy="320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14</xdr:col>
      <xdr:colOff>0</xdr:colOff>
      <xdr:row>16</xdr:row>
      <xdr:rowOff>152400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18958B-9BF9-A450-BCC3-98217E2D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0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588150</xdr:colOff>
      <xdr:row>0</xdr:row>
      <xdr:rowOff>0</xdr:rowOff>
    </xdr:from>
    <xdr:to>
      <xdr:col>21</xdr:col>
      <xdr:colOff>588150</xdr:colOff>
      <xdr:row>16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4A39BDE-6CCC-4406-BF27-AF3B8BA6F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7900" y="0"/>
          <a:ext cx="4267200" cy="320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593912</xdr:colOff>
      <xdr:row>0</xdr:row>
      <xdr:rowOff>33617</xdr:rowOff>
    </xdr:from>
    <xdr:to>
      <xdr:col>14</xdr:col>
      <xdr:colOff>20171</xdr:colOff>
      <xdr:row>16</xdr:row>
      <xdr:rowOff>186017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08D4ECE-3891-2281-8EE0-413B0948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4618" y="33617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26734</xdr:colOff>
      <xdr:row>0</xdr:row>
      <xdr:rowOff>4323</xdr:rowOff>
    </xdr:from>
    <xdr:to>
      <xdr:col>22</xdr:col>
      <xdr:colOff>58111</xdr:colOff>
      <xdr:row>16</xdr:row>
      <xdr:rowOff>156723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C5F134-5AA8-B1EE-AEA5-C6FDE6A6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3499" y="4323"/>
          <a:ext cx="4267200" cy="320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0</xdr:row>
      <xdr:rowOff>0</xdr:rowOff>
    </xdr:from>
    <xdr:to>
      <xdr:col>13</xdr:col>
      <xdr:colOff>295275</xdr:colOff>
      <xdr:row>16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A4B830-43D1-A392-F309-4D1724332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0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226200</xdr:colOff>
      <xdr:row>0</xdr:row>
      <xdr:rowOff>0</xdr:rowOff>
    </xdr:from>
    <xdr:to>
      <xdr:col>20</xdr:col>
      <xdr:colOff>226200</xdr:colOff>
      <xdr:row>16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C3F288-5F05-0FCA-3E7E-405B9F892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1000" y="0"/>
          <a:ext cx="4267200" cy="3200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503464</xdr:colOff>
      <xdr:row>0</xdr:row>
      <xdr:rowOff>0</xdr:rowOff>
    </xdr:from>
    <xdr:to>
      <xdr:col>21</xdr:col>
      <xdr:colOff>502702</xdr:colOff>
      <xdr:row>16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BAE65C-C7FE-5055-2EB1-889D1186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5964" y="0"/>
          <a:ext cx="4285488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136392</xdr:colOff>
      <xdr:row>0</xdr:row>
      <xdr:rowOff>0</xdr:rowOff>
    </xdr:from>
    <xdr:to>
      <xdr:col>14</xdr:col>
      <xdr:colOff>135630</xdr:colOff>
      <xdr:row>16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6686C35-5EED-B3A3-F261-89B9CC7E9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2642" y="0"/>
          <a:ext cx="4285488" cy="3200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14</xdr:col>
      <xdr:colOff>0</xdr:colOff>
      <xdr:row>16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3C60C0-4535-6A44-3216-59906E39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0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188100</xdr:colOff>
      <xdr:row>0</xdr:row>
      <xdr:rowOff>0</xdr:rowOff>
    </xdr:from>
    <xdr:to>
      <xdr:col>21</xdr:col>
      <xdr:colOff>188100</xdr:colOff>
      <xdr:row>16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2E6A593-29C7-17B6-1170-F79D67AD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500" y="0"/>
          <a:ext cx="4267200" cy="3200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200025</xdr:colOff>
      <xdr:row>1</xdr:row>
      <xdr:rowOff>9525</xdr:rowOff>
    </xdr:from>
    <xdr:to>
      <xdr:col>21</xdr:col>
      <xdr:colOff>200025</xdr:colOff>
      <xdr:row>17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652ADC-C2A2-246B-7026-3D4A02A43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425" y="200025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7125</xdr:colOff>
      <xdr:row>1</xdr:row>
      <xdr:rowOff>7125</xdr:rowOff>
    </xdr:from>
    <xdr:to>
      <xdr:col>14</xdr:col>
      <xdr:colOff>7125</xdr:colOff>
      <xdr:row>17</xdr:row>
      <xdr:rowOff>159525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B82315-4AEF-3486-FEA0-728664FF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4325" y="197625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9525</xdr:rowOff>
    </xdr:from>
    <xdr:to>
      <xdr:col>21</xdr:col>
      <xdr:colOff>0</xdr:colOff>
      <xdr:row>36</xdr:row>
      <xdr:rowOff>161925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8A4C1A3-0F71-3301-CD6B-07D591384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3943350"/>
          <a:ext cx="4267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597675</xdr:colOff>
      <xdr:row>20</xdr:row>
      <xdr:rowOff>7125</xdr:rowOff>
    </xdr:from>
    <xdr:to>
      <xdr:col>13</xdr:col>
      <xdr:colOff>597675</xdr:colOff>
      <xdr:row>36</xdr:row>
      <xdr:rowOff>159525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8CA2B72-DF2E-9FA6-D3AF-0E87FECC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5275" y="3893325"/>
          <a:ext cx="4267200" cy="32004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A1E9-31F3-406F-BB58-1888C5E896E5}">
  <dimension ref="A1:C12"/>
  <sheetViews>
    <sheetView workbookViewId="0">
      <selection activeCell="F6" sqref="F6"/>
    </sheetView>
  </sheetViews>
  <sheetFormatPr defaultRowHeight="15" x14ac:dyDescent="0.25"/>
  <cols>
    <col min="1" max="1" width="17.7109375" style="1" customWidth="1"/>
    <col min="2" max="2" width="11.5703125" customWidth="1"/>
    <col min="3" max="3" width="11.28515625" style="3" bestFit="1" customWidth="1"/>
  </cols>
  <sheetData>
    <row r="1" spans="1:3" x14ac:dyDescent="0.25">
      <c r="A1" s="1" t="s">
        <v>4</v>
      </c>
      <c r="B1" t="s">
        <v>5</v>
      </c>
      <c r="C1" s="3" t="s">
        <v>6</v>
      </c>
    </row>
    <row r="2" spans="1:3" x14ac:dyDescent="0.25">
      <c r="A2" s="1" t="s">
        <v>30</v>
      </c>
      <c r="B2" s="8">
        <v>2503.8319999999999</v>
      </c>
      <c r="C2" s="9">
        <v>2513.89</v>
      </c>
    </row>
    <row r="3" spans="1:3" x14ac:dyDescent="0.25">
      <c r="A3" s="1" t="s">
        <v>27</v>
      </c>
      <c r="B3">
        <v>2504.165</v>
      </c>
      <c r="C3" s="3">
        <v>2514.223</v>
      </c>
    </row>
    <row r="4" spans="1:3" x14ac:dyDescent="0.25">
      <c r="A4" s="1" t="s">
        <v>28</v>
      </c>
      <c r="B4">
        <v>2504.165</v>
      </c>
      <c r="C4" s="3">
        <v>2514.223</v>
      </c>
    </row>
    <row r="5" spans="1:3" x14ac:dyDescent="0.25">
      <c r="A5" s="1" t="s">
        <v>29</v>
      </c>
      <c r="B5">
        <v>2504.8510000000001</v>
      </c>
      <c r="C5" s="3">
        <v>2514.9090000000001</v>
      </c>
    </row>
    <row r="6" spans="1:3" x14ac:dyDescent="0.25">
      <c r="A6" s="1" t="s">
        <v>3</v>
      </c>
      <c r="B6" s="4">
        <v>6032.2150000000001</v>
      </c>
      <c r="C6" s="3">
        <v>6042.2730000000001</v>
      </c>
    </row>
    <row r="7" spans="1:3" x14ac:dyDescent="0.25">
      <c r="A7" s="1" t="s">
        <v>1</v>
      </c>
      <c r="B7" s="3">
        <v>6032.5479999999998</v>
      </c>
      <c r="C7" s="3">
        <v>6042.6059999999998</v>
      </c>
    </row>
    <row r="8" spans="1:3" x14ac:dyDescent="0.25">
      <c r="A8" s="1" t="s">
        <v>2</v>
      </c>
      <c r="B8" s="3">
        <v>6033.2340000000004</v>
      </c>
      <c r="C8" s="3">
        <v>6043.2920000000004</v>
      </c>
    </row>
    <row r="9" spans="1:3" x14ac:dyDescent="0.25">
      <c r="A9" s="1" t="s">
        <v>0</v>
      </c>
      <c r="B9" s="2">
        <v>6034.6130000000003</v>
      </c>
      <c r="C9" s="4">
        <v>6039.6419999999998</v>
      </c>
    </row>
    <row r="12" spans="1:3" x14ac:dyDescent="0.25">
      <c r="B12" s="7"/>
    </row>
  </sheetData>
  <autoFilter ref="A1:C5" xr:uid="{8B58A1E9-31F3-406F-BB58-1888C5E896E5}">
    <sortState xmlns:xlrd2="http://schemas.microsoft.com/office/spreadsheetml/2017/richdata2" ref="A2:C9">
      <sortCondition ref="B1:B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FAF8-3097-4312-A544-9A64701A1E63}">
  <dimension ref="A1:B15"/>
  <sheetViews>
    <sheetView zoomScaleNormal="100" workbookViewId="0">
      <selection activeCell="A2" sqref="A2:A15"/>
    </sheetView>
  </sheetViews>
  <sheetFormatPr defaultRowHeight="15" x14ac:dyDescent="0.25"/>
  <cols>
    <col min="1" max="1" width="20.28515625" bestFit="1" customWidth="1"/>
    <col min="2" max="2" width="21.7109375" bestFit="1" customWidth="1"/>
  </cols>
  <sheetData>
    <row r="1" spans="1:2" x14ac:dyDescent="0.25">
      <c r="A1" t="s">
        <v>8</v>
      </c>
      <c r="B1" t="s">
        <v>22</v>
      </c>
    </row>
    <row r="2" spans="1:2" x14ac:dyDescent="0.25">
      <c r="A2" t="s">
        <v>9</v>
      </c>
    </row>
    <row r="3" spans="1:2" x14ac:dyDescent="0.25">
      <c r="A3" t="s">
        <v>10</v>
      </c>
      <c r="B3" t="s">
        <v>23</v>
      </c>
    </row>
    <row r="4" spans="1:2" x14ac:dyDescent="0.25">
      <c r="A4" t="s">
        <v>11</v>
      </c>
      <c r="B4" t="s">
        <v>23</v>
      </c>
    </row>
    <row r="5" spans="1:2" x14ac:dyDescent="0.25">
      <c r="A5" t="s">
        <v>12</v>
      </c>
      <c r="B5" t="s">
        <v>23</v>
      </c>
    </row>
    <row r="6" spans="1:2" x14ac:dyDescent="0.25">
      <c r="A6" t="s">
        <v>13</v>
      </c>
      <c r="B6" t="s">
        <v>23</v>
      </c>
    </row>
    <row r="7" spans="1:2" x14ac:dyDescent="0.25">
      <c r="A7" t="s">
        <v>14</v>
      </c>
      <c r="B7" t="s">
        <v>23</v>
      </c>
    </row>
    <row r="8" spans="1:2" x14ac:dyDescent="0.25">
      <c r="A8" t="s">
        <v>15</v>
      </c>
    </row>
    <row r="9" spans="1:2" x14ac:dyDescent="0.25">
      <c r="A9" t="s">
        <v>16</v>
      </c>
      <c r="B9" t="s">
        <v>23</v>
      </c>
    </row>
    <row r="10" spans="1:2" x14ac:dyDescent="0.25">
      <c r="A10" t="s">
        <v>17</v>
      </c>
    </row>
    <row r="11" spans="1:2" x14ac:dyDescent="0.25">
      <c r="A11" t="s">
        <v>18</v>
      </c>
      <c r="B11" s="5"/>
    </row>
    <row r="12" spans="1:2" x14ac:dyDescent="0.25">
      <c r="A12" t="s">
        <v>19</v>
      </c>
    </row>
    <row r="13" spans="1:2" x14ac:dyDescent="0.25">
      <c r="A13" t="s">
        <v>20</v>
      </c>
      <c r="B13" t="s">
        <v>23</v>
      </c>
    </row>
    <row r="14" spans="1:2" x14ac:dyDescent="0.25">
      <c r="A14" t="s">
        <v>21</v>
      </c>
      <c r="B14" t="s">
        <v>23</v>
      </c>
    </row>
    <row r="15" spans="1:2" x14ac:dyDescent="0.25">
      <c r="A15" t="s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0212-2778-42AA-B9A9-3E4C35EEEA28}">
  <dimension ref="A1:E15"/>
  <sheetViews>
    <sheetView workbookViewId="0">
      <selection activeCell="C3" sqref="C3:C14"/>
    </sheetView>
  </sheetViews>
  <sheetFormatPr defaultRowHeight="15" x14ac:dyDescent="0.25"/>
  <cols>
    <col min="2" max="2" width="21.7109375" bestFit="1" customWidth="1"/>
    <col min="3" max="3" width="9.7109375" bestFit="1" customWidth="1"/>
  </cols>
  <sheetData>
    <row r="1" spans="1:5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5" x14ac:dyDescent="0.25">
      <c r="A2" t="s">
        <v>9</v>
      </c>
    </row>
    <row r="3" spans="1:5" x14ac:dyDescent="0.25">
      <c r="A3" t="s">
        <v>10</v>
      </c>
      <c r="B3" t="s">
        <v>23</v>
      </c>
      <c r="C3" t="s">
        <v>23</v>
      </c>
      <c r="D3" t="s">
        <v>23</v>
      </c>
      <c r="E3" t="s">
        <v>23</v>
      </c>
    </row>
    <row r="4" spans="1:5" x14ac:dyDescent="0.25">
      <c r="A4" t="s">
        <v>11</v>
      </c>
      <c r="B4" t="s">
        <v>23</v>
      </c>
      <c r="C4" t="s">
        <v>23</v>
      </c>
      <c r="D4" t="s">
        <v>23</v>
      </c>
      <c r="E4" t="s">
        <v>23</v>
      </c>
    </row>
    <row r="5" spans="1:5" x14ac:dyDescent="0.25">
      <c r="A5" t="s">
        <v>12</v>
      </c>
      <c r="B5" t="s">
        <v>23</v>
      </c>
      <c r="C5" t="s">
        <v>23</v>
      </c>
      <c r="D5" t="s">
        <v>23</v>
      </c>
      <c r="E5" t="s">
        <v>23</v>
      </c>
    </row>
    <row r="6" spans="1:5" x14ac:dyDescent="0.25">
      <c r="A6" t="s">
        <v>13</v>
      </c>
      <c r="B6" t="s">
        <v>23</v>
      </c>
      <c r="C6" t="s">
        <v>23</v>
      </c>
      <c r="D6" t="s">
        <v>23</v>
      </c>
      <c r="E6" t="s">
        <v>23</v>
      </c>
    </row>
    <row r="7" spans="1:5" x14ac:dyDescent="0.25">
      <c r="A7" t="s">
        <v>14</v>
      </c>
    </row>
    <row r="8" spans="1:5" x14ac:dyDescent="0.25">
      <c r="A8" t="s">
        <v>15</v>
      </c>
    </row>
    <row r="9" spans="1:5" x14ac:dyDescent="0.25">
      <c r="A9" t="s">
        <v>16</v>
      </c>
      <c r="B9" t="s">
        <v>23</v>
      </c>
      <c r="C9" t="s">
        <v>23</v>
      </c>
      <c r="D9" t="s">
        <v>23</v>
      </c>
      <c r="E9" t="s">
        <v>23</v>
      </c>
    </row>
    <row r="10" spans="1:5" x14ac:dyDescent="0.25">
      <c r="A10" t="s">
        <v>17</v>
      </c>
      <c r="C10" t="s">
        <v>23</v>
      </c>
      <c r="D10" t="s">
        <v>23</v>
      </c>
      <c r="E10" t="s">
        <v>23</v>
      </c>
    </row>
    <row r="11" spans="1:5" x14ac:dyDescent="0.25">
      <c r="A11" t="s">
        <v>18</v>
      </c>
      <c r="B11" s="5"/>
    </row>
    <row r="12" spans="1:5" x14ac:dyDescent="0.25">
      <c r="A12" t="s">
        <v>19</v>
      </c>
    </row>
    <row r="13" spans="1:5" x14ac:dyDescent="0.25">
      <c r="A13" t="s">
        <v>20</v>
      </c>
      <c r="B13" t="s">
        <v>23</v>
      </c>
      <c r="C13" t="s">
        <v>23</v>
      </c>
      <c r="D13" t="s">
        <v>23</v>
      </c>
      <c r="E13" t="s">
        <v>23</v>
      </c>
    </row>
    <row r="14" spans="1:5" x14ac:dyDescent="0.25">
      <c r="A14" t="s">
        <v>21</v>
      </c>
      <c r="B14" t="s">
        <v>23</v>
      </c>
      <c r="C14" t="s">
        <v>23</v>
      </c>
      <c r="D14" t="s">
        <v>23</v>
      </c>
      <c r="E14" t="s">
        <v>23</v>
      </c>
    </row>
    <row r="15" spans="1:5" x14ac:dyDescent="0.25">
      <c r="A15" t="s">
        <v>7</v>
      </c>
    </row>
  </sheetData>
  <autoFilter ref="A1:E15" xr:uid="{763C0212-2778-42AA-B9A9-3E4C35EEEA28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586D-3E80-482F-832A-F73A88549228}">
  <dimension ref="A1:F15"/>
  <sheetViews>
    <sheetView topLeftCell="D1" workbookViewId="0">
      <selection activeCell="K21" sqref="K21"/>
    </sheetView>
  </sheetViews>
  <sheetFormatPr defaultRowHeight="15" x14ac:dyDescent="0.25"/>
  <cols>
    <col min="1" max="1" width="22.5703125" bestFit="1" customWidth="1"/>
  </cols>
  <sheetData>
    <row r="1" spans="1:6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6" x14ac:dyDescent="0.25">
      <c r="A2" t="s">
        <v>9</v>
      </c>
    </row>
    <row r="3" spans="1:6" x14ac:dyDescent="0.25">
      <c r="A3" t="s">
        <v>10</v>
      </c>
      <c r="B3" t="s">
        <v>23</v>
      </c>
      <c r="C3" t="s">
        <v>23</v>
      </c>
      <c r="D3" t="s">
        <v>23</v>
      </c>
      <c r="E3" t="s">
        <v>23</v>
      </c>
      <c r="F3" t="str">
        <f>_xlfn.CONCAT(A3,"+")</f>
        <v>age  +</v>
      </c>
    </row>
    <row r="4" spans="1:6" x14ac:dyDescent="0.25">
      <c r="A4" t="s">
        <v>11</v>
      </c>
      <c r="B4" t="s">
        <v>23</v>
      </c>
      <c r="C4" t="s">
        <v>23</v>
      </c>
      <c r="D4" t="s">
        <v>23</v>
      </c>
      <c r="E4" t="s">
        <v>23</v>
      </c>
      <c r="F4" t="str">
        <f>_xlfn.CONCAT(A4,"+")</f>
        <v>industry  +</v>
      </c>
    </row>
    <row r="5" spans="1:6" x14ac:dyDescent="0.25">
      <c r="A5" t="s">
        <v>12</v>
      </c>
    </row>
    <row r="6" spans="1:6" x14ac:dyDescent="0.25">
      <c r="A6" t="s">
        <v>13</v>
      </c>
      <c r="B6" t="s">
        <v>23</v>
      </c>
      <c r="C6" t="s">
        <v>23</v>
      </c>
      <c r="D6" t="s">
        <v>23</v>
      </c>
      <c r="E6" t="s">
        <v>23</v>
      </c>
      <c r="F6" t="str">
        <f>_xlfn.CONCAT(A6,"+")</f>
        <v>traffic  +</v>
      </c>
    </row>
    <row r="7" spans="1:6" x14ac:dyDescent="0.25">
      <c r="A7" t="s">
        <v>14</v>
      </c>
    </row>
    <row r="8" spans="1:6" x14ac:dyDescent="0.25">
      <c r="A8" t="s">
        <v>15</v>
      </c>
    </row>
    <row r="9" spans="1:6" x14ac:dyDescent="0.25">
      <c r="A9" t="s">
        <v>16</v>
      </c>
      <c r="B9" t="s">
        <v>23</v>
      </c>
      <c r="C9" t="s">
        <v>23</v>
      </c>
      <c r="D9" t="s">
        <v>23</v>
      </c>
      <c r="E9" t="s">
        <v>23</v>
      </c>
      <c r="F9" t="str">
        <f t="shared" ref="F9:F10" si="0">_xlfn.CONCAT(A9,"+")</f>
        <v>greywage  +</v>
      </c>
    </row>
    <row r="10" spans="1:6" x14ac:dyDescent="0.25">
      <c r="A10" t="s">
        <v>17</v>
      </c>
      <c r="B10" t="s">
        <v>23</v>
      </c>
      <c r="C10" t="s">
        <v>23</v>
      </c>
      <c r="D10" t="s">
        <v>23</v>
      </c>
      <c r="E10" t="s">
        <v>23</v>
      </c>
      <c r="F10" t="str">
        <f t="shared" si="0"/>
        <v>way  +</v>
      </c>
    </row>
    <row r="11" spans="1:6" x14ac:dyDescent="0.25">
      <c r="A11" t="s">
        <v>18</v>
      </c>
      <c r="B11" s="5"/>
    </row>
    <row r="12" spans="1:6" x14ac:dyDescent="0.25">
      <c r="A12" t="s">
        <v>19</v>
      </c>
    </row>
    <row r="13" spans="1:6" x14ac:dyDescent="0.25">
      <c r="A13" t="s">
        <v>20</v>
      </c>
      <c r="B13" t="s">
        <v>23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6" x14ac:dyDescent="0.25">
      <c r="A14" t="s">
        <v>21</v>
      </c>
      <c r="B14" t="s">
        <v>23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6" x14ac:dyDescent="0.25">
      <c r="A15" t="s">
        <v>7</v>
      </c>
    </row>
  </sheetData>
  <autoFilter ref="A1:E15" xr:uid="{0E2C586D-3E80-482F-832A-F73A88549228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37D-A5A3-4389-BA22-D76D602171D1}">
  <dimension ref="A1:I15"/>
  <sheetViews>
    <sheetView topLeftCell="C1" zoomScale="85" zoomScaleNormal="85" workbookViewId="0">
      <selection activeCell="L20" sqref="L20"/>
    </sheetView>
  </sheetViews>
  <sheetFormatPr defaultRowHeight="15" x14ac:dyDescent="0.25"/>
  <sheetData>
    <row r="1" spans="1:9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9" x14ac:dyDescent="0.25">
      <c r="A2" t="s">
        <v>9</v>
      </c>
    </row>
    <row r="3" spans="1:9" x14ac:dyDescent="0.25">
      <c r="A3" t="s">
        <v>10</v>
      </c>
      <c r="B3" t="s">
        <v>23</v>
      </c>
      <c r="C3" t="s">
        <v>23</v>
      </c>
      <c r="D3" t="s">
        <v>23</v>
      </c>
      <c r="E3" t="s">
        <v>23</v>
      </c>
      <c r="F3" t="str">
        <f>_xlfn.CONCAT(A3,"+")</f>
        <v>age  +</v>
      </c>
      <c r="I3" t="e" vm="1">
        <v>#VALUE!</v>
      </c>
    </row>
    <row r="4" spans="1:9" x14ac:dyDescent="0.25">
      <c r="A4" t="s">
        <v>11</v>
      </c>
      <c r="B4" t="s">
        <v>23</v>
      </c>
      <c r="C4" t="s">
        <v>23</v>
      </c>
      <c r="D4" t="s">
        <v>23</v>
      </c>
      <c r="E4" t="s">
        <v>23</v>
      </c>
      <c r="F4" t="str">
        <f t="shared" ref="F4:F6" si="0">_xlfn.CONCAT(A4,"+")</f>
        <v>industry  +</v>
      </c>
      <c r="I4" t="e" vm="2">
        <v>#VALUE!</v>
      </c>
    </row>
    <row r="5" spans="1:9" x14ac:dyDescent="0.25">
      <c r="A5" t="s">
        <v>12</v>
      </c>
      <c r="B5" t="s">
        <v>23</v>
      </c>
      <c r="C5" t="s">
        <v>23</v>
      </c>
      <c r="D5" t="s">
        <v>23</v>
      </c>
      <c r="E5" t="s">
        <v>23</v>
      </c>
      <c r="F5" t="str">
        <f t="shared" si="0"/>
        <v>profession  +</v>
      </c>
    </row>
    <row r="6" spans="1:9" x14ac:dyDescent="0.25">
      <c r="A6" t="s">
        <v>13</v>
      </c>
      <c r="B6" t="s">
        <v>23</v>
      </c>
      <c r="C6" t="s">
        <v>23</v>
      </c>
      <c r="D6" t="s">
        <v>23</v>
      </c>
      <c r="E6" t="s">
        <v>23</v>
      </c>
      <c r="F6" t="str">
        <f t="shared" si="0"/>
        <v>traffic  +</v>
      </c>
    </row>
    <row r="7" spans="1:9" x14ac:dyDescent="0.25">
      <c r="A7" t="s">
        <v>14</v>
      </c>
    </row>
    <row r="8" spans="1:9" x14ac:dyDescent="0.25">
      <c r="A8" t="s">
        <v>15</v>
      </c>
    </row>
    <row r="9" spans="1:9" x14ac:dyDescent="0.25">
      <c r="A9" t="s">
        <v>16</v>
      </c>
      <c r="B9" t="s">
        <v>23</v>
      </c>
      <c r="C9" t="s">
        <v>23</v>
      </c>
      <c r="D9" t="s">
        <v>23</v>
      </c>
      <c r="E9" t="s">
        <v>23</v>
      </c>
      <c r="F9" t="str">
        <f>_xlfn.CONCAT(A9,"+")</f>
        <v>greywage  +</v>
      </c>
    </row>
    <row r="10" spans="1:9" x14ac:dyDescent="0.25">
      <c r="A10" t="s">
        <v>17</v>
      </c>
    </row>
    <row r="11" spans="1:9" x14ac:dyDescent="0.25">
      <c r="A11" t="s">
        <v>18</v>
      </c>
    </row>
    <row r="12" spans="1:9" x14ac:dyDescent="0.25">
      <c r="A12" t="s">
        <v>19</v>
      </c>
    </row>
    <row r="13" spans="1:9" x14ac:dyDescent="0.25">
      <c r="A13" t="s">
        <v>20</v>
      </c>
      <c r="B13" t="s">
        <v>23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9" x14ac:dyDescent="0.25">
      <c r="A14" t="s">
        <v>21</v>
      </c>
      <c r="B14" t="s">
        <v>23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9" x14ac:dyDescent="0.25">
      <c r="A15" t="s">
        <v>7</v>
      </c>
    </row>
  </sheetData>
  <autoFilter ref="A1:E15" xr:uid="{3DACB37D-A5A3-4389-BA22-D76D602171D1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5C3B-161B-407D-94A8-41234554A020}">
  <dimension ref="A1:F15"/>
  <sheetViews>
    <sheetView workbookViewId="0">
      <selection activeCell="I21" sqref="I21"/>
    </sheetView>
  </sheetViews>
  <sheetFormatPr defaultRowHeight="15" x14ac:dyDescent="0.25"/>
  <sheetData>
    <row r="1" spans="1:6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6" x14ac:dyDescent="0.25">
      <c r="A2" t="s">
        <v>9</v>
      </c>
    </row>
    <row r="3" spans="1:6" x14ac:dyDescent="0.25">
      <c r="A3" t="s">
        <v>10</v>
      </c>
      <c r="C3" t="s">
        <v>23</v>
      </c>
      <c r="D3" t="s">
        <v>23</v>
      </c>
      <c r="E3" t="s">
        <v>23</v>
      </c>
      <c r="F3" t="str">
        <f>_xlfn.CONCAT(A3,"+")</f>
        <v>age  +</v>
      </c>
    </row>
    <row r="4" spans="1:6" x14ac:dyDescent="0.25">
      <c r="A4" t="s">
        <v>11</v>
      </c>
      <c r="C4" t="s">
        <v>23</v>
      </c>
      <c r="D4" t="s">
        <v>23</v>
      </c>
      <c r="E4" t="s">
        <v>23</v>
      </c>
      <c r="F4" t="str">
        <f t="shared" ref="F4:F6" si="0">_xlfn.CONCAT(A4,"+")</f>
        <v>industry  +</v>
      </c>
    </row>
    <row r="5" spans="1:6" x14ac:dyDescent="0.25">
      <c r="A5" t="s">
        <v>12</v>
      </c>
      <c r="C5" t="s">
        <v>23</v>
      </c>
      <c r="D5" t="s">
        <v>23</v>
      </c>
      <c r="E5" t="s">
        <v>23</v>
      </c>
      <c r="F5" t="str">
        <f t="shared" si="0"/>
        <v>profession  +</v>
      </c>
    </row>
    <row r="6" spans="1:6" x14ac:dyDescent="0.25">
      <c r="A6" t="s">
        <v>13</v>
      </c>
      <c r="C6" t="s">
        <v>23</v>
      </c>
      <c r="D6" t="s">
        <v>23</v>
      </c>
      <c r="E6" t="s">
        <v>23</v>
      </c>
      <c r="F6" t="str">
        <f t="shared" si="0"/>
        <v>traffic  +</v>
      </c>
    </row>
    <row r="7" spans="1:6" x14ac:dyDescent="0.25">
      <c r="A7" t="s">
        <v>14</v>
      </c>
    </row>
    <row r="8" spans="1:6" x14ac:dyDescent="0.25">
      <c r="A8" t="s">
        <v>15</v>
      </c>
    </row>
    <row r="9" spans="1:6" x14ac:dyDescent="0.25">
      <c r="A9" t="s">
        <v>16</v>
      </c>
      <c r="C9" t="s">
        <v>23</v>
      </c>
      <c r="D9" t="s">
        <v>23</v>
      </c>
      <c r="E9" t="s">
        <v>23</v>
      </c>
      <c r="F9" t="str">
        <f>_xlfn.CONCAT(A9,"+")</f>
        <v>greywage  +</v>
      </c>
    </row>
    <row r="10" spans="1:6" x14ac:dyDescent="0.25">
      <c r="A10" t="s">
        <v>17</v>
      </c>
      <c r="C10" t="s">
        <v>23</v>
      </c>
      <c r="D10" t="s">
        <v>23</v>
      </c>
      <c r="E10" t="s">
        <v>23</v>
      </c>
      <c r="F10" t="str">
        <f>_xlfn.CONCAT(A10,"+")</f>
        <v>way  +</v>
      </c>
    </row>
    <row r="11" spans="1:6" x14ac:dyDescent="0.25">
      <c r="A11" t="s">
        <v>18</v>
      </c>
    </row>
    <row r="12" spans="1:6" x14ac:dyDescent="0.25">
      <c r="A12" t="s">
        <v>19</v>
      </c>
    </row>
    <row r="13" spans="1:6" x14ac:dyDescent="0.25">
      <c r="A13" t="s">
        <v>20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6" x14ac:dyDescent="0.25">
      <c r="A14" t="s">
        <v>21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6" x14ac:dyDescent="0.25">
      <c r="A15" t="s">
        <v>7</v>
      </c>
    </row>
  </sheetData>
  <autoFilter ref="A1:F15" xr:uid="{22565C3B-161B-407D-94A8-41234554A020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37C0-FECA-457F-A8A9-5153B1991007}">
  <dimension ref="A1:F15"/>
  <sheetViews>
    <sheetView zoomScale="70" zoomScaleNormal="70" workbookViewId="0">
      <selection activeCell="L26" sqref="L26"/>
    </sheetView>
  </sheetViews>
  <sheetFormatPr defaultRowHeight="15" x14ac:dyDescent="0.25"/>
  <sheetData>
    <row r="1" spans="1:6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6" x14ac:dyDescent="0.25">
      <c r="A2" t="s">
        <v>9</v>
      </c>
    </row>
    <row r="3" spans="1:6" x14ac:dyDescent="0.25">
      <c r="A3" t="s">
        <v>10</v>
      </c>
      <c r="C3" t="s">
        <v>23</v>
      </c>
      <c r="D3" t="s">
        <v>23</v>
      </c>
      <c r="E3" t="s">
        <v>23</v>
      </c>
      <c r="F3" t="str">
        <f>_xlfn.CONCAT(A3,"+")</f>
        <v>age  +</v>
      </c>
    </row>
    <row r="4" spans="1:6" x14ac:dyDescent="0.25">
      <c r="A4" t="s">
        <v>11</v>
      </c>
      <c r="C4" t="s">
        <v>23</v>
      </c>
      <c r="D4" t="s">
        <v>23</v>
      </c>
      <c r="E4" t="s">
        <v>23</v>
      </c>
      <c r="F4" t="str">
        <f t="shared" ref="F4:F6" si="0">_xlfn.CONCAT(A4,"+")</f>
        <v>industry  +</v>
      </c>
    </row>
    <row r="5" spans="1:6" x14ac:dyDescent="0.25">
      <c r="A5" t="s">
        <v>12</v>
      </c>
      <c r="C5" t="s">
        <v>23</v>
      </c>
      <c r="D5" t="s">
        <v>23</v>
      </c>
      <c r="E5" t="s">
        <v>23</v>
      </c>
      <c r="F5" t="str">
        <f t="shared" si="0"/>
        <v>profession  +</v>
      </c>
    </row>
    <row r="6" spans="1:6" x14ac:dyDescent="0.25">
      <c r="A6" t="s">
        <v>13</v>
      </c>
      <c r="C6" t="s">
        <v>23</v>
      </c>
      <c r="D6" t="s">
        <v>23</v>
      </c>
      <c r="E6" t="s">
        <v>23</v>
      </c>
      <c r="F6" t="str">
        <f t="shared" si="0"/>
        <v>traffic  +</v>
      </c>
    </row>
    <row r="7" spans="1:6" x14ac:dyDescent="0.25">
      <c r="A7" t="s">
        <v>14</v>
      </c>
    </row>
    <row r="8" spans="1:6" x14ac:dyDescent="0.25">
      <c r="A8" t="s">
        <v>15</v>
      </c>
    </row>
    <row r="9" spans="1:6" x14ac:dyDescent="0.25">
      <c r="A9" t="s">
        <v>16</v>
      </c>
      <c r="C9" t="s">
        <v>23</v>
      </c>
      <c r="D9" t="s">
        <v>23</v>
      </c>
      <c r="E9" t="s">
        <v>23</v>
      </c>
      <c r="F9" t="str">
        <f>_xlfn.CONCAT(A9,"+")</f>
        <v>greywage  +</v>
      </c>
    </row>
    <row r="10" spans="1:6" x14ac:dyDescent="0.25">
      <c r="A10" t="s">
        <v>17</v>
      </c>
      <c r="C10" t="s">
        <v>23</v>
      </c>
      <c r="D10" t="s">
        <v>23</v>
      </c>
      <c r="E10" t="s">
        <v>23</v>
      </c>
      <c r="F10" t="str">
        <f>_xlfn.CONCAT(A10,"+")</f>
        <v>way  +</v>
      </c>
    </row>
    <row r="11" spans="1:6" x14ac:dyDescent="0.25">
      <c r="A11" t="s">
        <v>18</v>
      </c>
    </row>
    <row r="12" spans="1:6" x14ac:dyDescent="0.25">
      <c r="A12" t="s">
        <v>19</v>
      </c>
    </row>
    <row r="13" spans="1:6" x14ac:dyDescent="0.25">
      <c r="A13" t="s">
        <v>20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6" x14ac:dyDescent="0.25">
      <c r="A14" t="s">
        <v>21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6" x14ac:dyDescent="0.25">
      <c r="A15" t="s">
        <v>7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B6E6-D7BC-4DCC-8A98-370E342E72EC}">
  <dimension ref="A1:F15"/>
  <sheetViews>
    <sheetView topLeftCell="B1" workbookViewId="0">
      <selection activeCell="L19" sqref="L19"/>
    </sheetView>
  </sheetViews>
  <sheetFormatPr defaultRowHeight="15" x14ac:dyDescent="0.25"/>
  <sheetData>
    <row r="1" spans="1:6" x14ac:dyDescent="0.25">
      <c r="A1" t="s">
        <v>8</v>
      </c>
      <c r="B1" t="s">
        <v>22</v>
      </c>
      <c r="C1" t="s">
        <v>24</v>
      </c>
      <c r="D1" t="s">
        <v>25</v>
      </c>
      <c r="E1" t="s">
        <v>26</v>
      </c>
    </row>
    <row r="2" spans="1:6" x14ac:dyDescent="0.25">
      <c r="A2" t="s">
        <v>9</v>
      </c>
    </row>
    <row r="3" spans="1:6" x14ac:dyDescent="0.25">
      <c r="A3" t="s">
        <v>10</v>
      </c>
      <c r="C3" t="s">
        <v>23</v>
      </c>
      <c r="D3" t="s">
        <v>23</v>
      </c>
      <c r="E3" t="s">
        <v>23</v>
      </c>
      <c r="F3" t="str">
        <f>_xlfn.CONCAT(A3,"+")</f>
        <v>age  +</v>
      </c>
    </row>
    <row r="4" spans="1:6" x14ac:dyDescent="0.25">
      <c r="A4" t="s">
        <v>11</v>
      </c>
      <c r="C4" t="s">
        <v>23</v>
      </c>
      <c r="D4" t="s">
        <v>23</v>
      </c>
      <c r="E4" t="s">
        <v>23</v>
      </c>
      <c r="F4" t="str">
        <f t="shared" ref="F4:F7" si="0">_xlfn.CONCAT(A4,"+")</f>
        <v>industry  +</v>
      </c>
    </row>
    <row r="5" spans="1:6" x14ac:dyDescent="0.25">
      <c r="A5" t="s">
        <v>12</v>
      </c>
      <c r="C5" t="s">
        <v>23</v>
      </c>
      <c r="D5" t="s">
        <v>23</v>
      </c>
      <c r="E5" t="s">
        <v>23</v>
      </c>
      <c r="F5" t="str">
        <f t="shared" si="0"/>
        <v>profession  +</v>
      </c>
    </row>
    <row r="6" spans="1:6" x14ac:dyDescent="0.25">
      <c r="A6" t="s">
        <v>13</v>
      </c>
      <c r="C6" t="s">
        <v>23</v>
      </c>
      <c r="D6" t="s">
        <v>23</v>
      </c>
      <c r="E6" t="s">
        <v>23</v>
      </c>
      <c r="F6" t="str">
        <f t="shared" si="0"/>
        <v>traffic  +</v>
      </c>
    </row>
    <row r="7" spans="1:6" x14ac:dyDescent="0.25">
      <c r="A7" t="s">
        <v>14</v>
      </c>
      <c r="C7" t="s">
        <v>23</v>
      </c>
      <c r="D7" t="s">
        <v>23</v>
      </c>
      <c r="E7" t="s">
        <v>23</v>
      </c>
      <c r="F7" t="str">
        <f t="shared" si="0"/>
        <v>coach  +</v>
      </c>
    </row>
    <row r="8" spans="1:6" x14ac:dyDescent="0.25">
      <c r="A8" t="s">
        <v>15</v>
      </c>
    </row>
    <row r="9" spans="1:6" x14ac:dyDescent="0.25">
      <c r="A9" t="s">
        <v>16</v>
      </c>
      <c r="C9" t="s">
        <v>23</v>
      </c>
      <c r="D9" t="s">
        <v>23</v>
      </c>
      <c r="E9" t="s">
        <v>23</v>
      </c>
      <c r="F9" t="str">
        <f>_xlfn.CONCAT(A9,"+")</f>
        <v>greywage  +</v>
      </c>
    </row>
    <row r="10" spans="1:6" x14ac:dyDescent="0.25">
      <c r="A10" t="s">
        <v>17</v>
      </c>
      <c r="F10" t="str">
        <f>_xlfn.CONCAT(A10,"+")</f>
        <v>way  +</v>
      </c>
    </row>
    <row r="11" spans="1:6" x14ac:dyDescent="0.25">
      <c r="A11" t="s">
        <v>18</v>
      </c>
    </row>
    <row r="12" spans="1:6" x14ac:dyDescent="0.25">
      <c r="A12" t="s">
        <v>19</v>
      </c>
    </row>
    <row r="13" spans="1:6" x14ac:dyDescent="0.25">
      <c r="A13" t="s">
        <v>20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6" x14ac:dyDescent="0.25">
      <c r="A14" t="s">
        <v>21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6" x14ac:dyDescent="0.25">
      <c r="A15" t="s">
        <v>7</v>
      </c>
    </row>
  </sheetData>
  <autoFilter ref="A1:F15" xr:uid="{05B6B6E6-D7BC-4DCC-8A98-370E342E72EC}"/>
  <pageMargins left="0.511811024" right="0.511811024" top="0.78740157499999996" bottom="0.78740157499999996" header="0.31496062000000002" footer="0.31496062000000002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B32E-D3F8-4E78-B467-F054DF81A492}">
  <dimension ref="A1:U20"/>
  <sheetViews>
    <sheetView workbookViewId="0">
      <selection activeCell="W29" sqref="W29"/>
    </sheetView>
  </sheetViews>
  <sheetFormatPr defaultRowHeight="15" x14ac:dyDescent="0.25"/>
  <sheetData>
    <row r="1" spans="1:21" ht="21" x14ac:dyDescent="0.35">
      <c r="A1" t="s">
        <v>8</v>
      </c>
      <c r="B1" t="s">
        <v>22</v>
      </c>
      <c r="C1" t="s">
        <v>24</v>
      </c>
      <c r="D1" t="s">
        <v>25</v>
      </c>
      <c r="E1" t="s">
        <v>26</v>
      </c>
      <c r="H1" s="10" t="s">
        <v>31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t="s">
        <v>9</v>
      </c>
    </row>
    <row r="3" spans="1:21" x14ac:dyDescent="0.25">
      <c r="A3" t="s">
        <v>10</v>
      </c>
      <c r="C3" t="s">
        <v>23</v>
      </c>
      <c r="D3" t="s">
        <v>23</v>
      </c>
      <c r="E3" t="s">
        <v>23</v>
      </c>
      <c r="F3" t="str">
        <f>_xlfn.CONCAT(A3,"+")</f>
        <v>age  +</v>
      </c>
    </row>
    <row r="4" spans="1:21" x14ac:dyDescent="0.25">
      <c r="A4" t="s">
        <v>11</v>
      </c>
      <c r="C4" t="s">
        <v>23</v>
      </c>
      <c r="D4" t="s">
        <v>23</v>
      </c>
      <c r="E4" t="s">
        <v>23</v>
      </c>
      <c r="F4" t="str">
        <f t="shared" ref="F4:F7" si="0">_xlfn.CONCAT(A4,"+")</f>
        <v>industry  +</v>
      </c>
    </row>
    <row r="5" spans="1:21" x14ac:dyDescent="0.25">
      <c r="A5" t="s">
        <v>12</v>
      </c>
      <c r="C5" t="s">
        <v>23</v>
      </c>
      <c r="D5" t="s">
        <v>23</v>
      </c>
      <c r="E5" t="s">
        <v>23</v>
      </c>
      <c r="F5" t="str">
        <f t="shared" si="0"/>
        <v>profession  +</v>
      </c>
    </row>
    <row r="6" spans="1:21" x14ac:dyDescent="0.25">
      <c r="A6" t="s">
        <v>13</v>
      </c>
      <c r="C6" t="s">
        <v>23</v>
      </c>
      <c r="D6" t="s">
        <v>23</v>
      </c>
      <c r="E6" t="s">
        <v>23</v>
      </c>
      <c r="F6" t="str">
        <f t="shared" si="0"/>
        <v>traffic  +</v>
      </c>
    </row>
    <row r="7" spans="1:21" x14ac:dyDescent="0.25">
      <c r="A7" s="6" t="s">
        <v>14</v>
      </c>
      <c r="B7" s="6"/>
      <c r="C7" s="6"/>
      <c r="D7" s="6" t="s">
        <v>23</v>
      </c>
      <c r="E7" s="6"/>
      <c r="F7" s="6" t="str">
        <f t="shared" si="0"/>
        <v>coach  +</v>
      </c>
    </row>
    <row r="8" spans="1:21" x14ac:dyDescent="0.25">
      <c r="A8" t="s">
        <v>15</v>
      </c>
    </row>
    <row r="9" spans="1:21" x14ac:dyDescent="0.25">
      <c r="A9" t="s">
        <v>16</v>
      </c>
      <c r="C9" t="s">
        <v>23</v>
      </c>
      <c r="D9" t="s">
        <v>23</v>
      </c>
      <c r="E9" t="s">
        <v>23</v>
      </c>
      <c r="F9" t="str">
        <f>_xlfn.CONCAT(A9,"+")</f>
        <v>greywage  +</v>
      </c>
    </row>
    <row r="10" spans="1:21" x14ac:dyDescent="0.25">
      <c r="A10" t="s">
        <v>17</v>
      </c>
      <c r="F10" t="str">
        <f>_xlfn.CONCAT(A10,"+")</f>
        <v>way  +</v>
      </c>
    </row>
    <row r="11" spans="1:21" x14ac:dyDescent="0.25">
      <c r="A11" t="s">
        <v>18</v>
      </c>
    </row>
    <row r="12" spans="1:21" x14ac:dyDescent="0.25">
      <c r="A12" t="s">
        <v>19</v>
      </c>
    </row>
    <row r="13" spans="1:21" x14ac:dyDescent="0.25">
      <c r="A13" t="s">
        <v>20</v>
      </c>
      <c r="C13" t="s">
        <v>23</v>
      </c>
      <c r="D13" t="s">
        <v>23</v>
      </c>
      <c r="E13" t="s">
        <v>23</v>
      </c>
      <c r="F13" t="str">
        <f t="shared" ref="F13" si="1">_xlfn.CONCAT(A13,"+")</f>
        <v>selfcontrol  +</v>
      </c>
    </row>
    <row r="14" spans="1:21" x14ac:dyDescent="0.25">
      <c r="A14" t="s">
        <v>21</v>
      </c>
      <c r="C14" t="s">
        <v>23</v>
      </c>
      <c r="D14" t="s">
        <v>23</v>
      </c>
      <c r="E14" t="s">
        <v>23</v>
      </c>
      <c r="F14" t="str">
        <f>_xlfn.CONCAT(A14,",")</f>
        <v>anxiety  ,</v>
      </c>
    </row>
    <row r="15" spans="1:21" x14ac:dyDescent="0.25">
      <c r="A15" t="s">
        <v>7</v>
      </c>
    </row>
    <row r="20" spans="8:21" ht="18.75" x14ac:dyDescent="0.3">
      <c r="H20" s="11" t="s">
        <v>32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</sheetData>
  <mergeCells count="2">
    <mergeCell ref="H1:U1"/>
    <mergeCell ref="H20:U20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B185-36E5-4149-88BE-A59B3EF8D5A3}">
  <dimension ref="A1:R9"/>
  <sheetViews>
    <sheetView tabSelected="1" workbookViewId="0">
      <selection activeCell="B16" sqref="B16"/>
    </sheetView>
  </sheetViews>
  <sheetFormatPr defaultRowHeight="15" x14ac:dyDescent="0.25"/>
  <cols>
    <col min="1" max="1" width="13.28515625" bestFit="1" customWidth="1"/>
    <col min="2" max="2" width="13.85546875" bestFit="1" customWidth="1"/>
    <col min="3" max="5" width="12.5703125" bestFit="1" customWidth="1"/>
    <col min="6" max="8" width="13.85546875" bestFit="1" customWidth="1"/>
    <col min="9" max="9" width="12.5703125" bestFit="1" customWidth="1"/>
    <col min="10" max="10" width="12.42578125" customWidth="1"/>
    <col min="11" max="11" width="60.28515625" bestFit="1" customWidth="1"/>
    <col min="12" max="12" width="61.42578125" bestFit="1" customWidth="1"/>
    <col min="13" max="13" width="63.85546875" bestFit="1" customWidth="1"/>
    <col min="14" max="14" width="59.42578125" bestFit="1" customWidth="1"/>
    <col min="15" max="15" width="59.7109375" bestFit="1" customWidth="1"/>
    <col min="16" max="16" width="65.7109375" bestFit="1" customWidth="1"/>
    <col min="17" max="17" width="62.42578125" bestFit="1" customWidth="1"/>
    <col min="18" max="18" width="57.5703125" bestFit="1" customWidth="1"/>
  </cols>
  <sheetData>
    <row r="1" spans="1:18" x14ac:dyDescent="0.25">
      <c r="A1" s="12"/>
      <c r="B1" s="12" t="s">
        <v>9</v>
      </c>
      <c r="C1" s="13" t="s">
        <v>11</v>
      </c>
      <c r="D1" s="13" t="s">
        <v>12</v>
      </c>
      <c r="E1" s="13" t="s">
        <v>13</v>
      </c>
      <c r="F1" s="12" t="s">
        <v>14</v>
      </c>
      <c r="G1" s="12" t="s">
        <v>15</v>
      </c>
      <c r="H1" s="13" t="s">
        <v>16</v>
      </c>
      <c r="I1" s="13" t="s">
        <v>17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 x14ac:dyDescent="0.25">
      <c r="A2" s="12" t="s">
        <v>9</v>
      </c>
      <c r="B2" s="14">
        <v>1</v>
      </c>
      <c r="C2" s="15"/>
      <c r="D2" s="15"/>
      <c r="E2" s="15"/>
      <c r="F2" s="15"/>
      <c r="G2" s="15"/>
      <c r="H2" s="15"/>
      <c r="I2" s="15"/>
      <c r="J2" s="7"/>
      <c r="K2" t="str">
        <f>_xlfn.CONCAT("CramerV( turnover_limpo$",$B$1,",","turnover_limpo$",A2, ")")</f>
        <v>CramerV( turnover_limpo$gender  ,turnover_limpo$gender  )</v>
      </c>
      <c r="L2" t="str">
        <f>_xlfn.CONCAT("CramerV( turnover_limpo$",$C$1,",","turnover_limpo$",A2, ")")</f>
        <v>CramerV( turnover_limpo$industry  ,turnover_limpo$gender  )</v>
      </c>
      <c r="M2" t="str">
        <f>_xlfn.CONCAT("CramerV( turnover_limpo$",$D$1,",","turnover_limpo$",A2, ")")</f>
        <v>CramerV( turnover_limpo$profession  ,turnover_limpo$gender  )</v>
      </c>
      <c r="N2" t="str">
        <f>_xlfn.CONCAT("CramerV( turnover_limpo$",$E$1,",","turnover_limpo$",A2, ")")</f>
        <v>CramerV( turnover_limpo$traffic  ,turnover_limpo$gender  )</v>
      </c>
      <c r="O2" t="str">
        <f>_xlfn.CONCAT("CramerV( turnover_limpo$",$F$1,",","turnover_limpo$",A2, ")")</f>
        <v>CramerV( turnover_limpo$coach  ,turnover_limpo$gender  )</v>
      </c>
      <c r="P2" t="str">
        <f>_xlfn.CONCAT("CramerV( turnover_limpo$",$G$1,",","turnover_limpo$",A2, ")")</f>
        <v>CramerV( turnover_limpo$head_gender  ,turnover_limpo$gender  )</v>
      </c>
      <c r="Q2" t="str">
        <f>_xlfn.CONCAT("CramerV( turnover_limpo$",$H$1,",","turnover_limpo$",A2, ")")</f>
        <v>CramerV( turnover_limpo$greywage  ,turnover_limpo$gender  )</v>
      </c>
      <c r="R2" t="str">
        <f>_xlfn.CONCAT("CramerV( turnover_limpo$",$I$1,",","turnover_limpo$",A2, ")")</f>
        <v>CramerV( turnover_limpo$way  ,turnover_limpo$gender  )</v>
      </c>
    </row>
    <row r="3" spans="1:18" x14ac:dyDescent="0.25">
      <c r="A3" s="13" t="s">
        <v>11</v>
      </c>
      <c r="B3" s="15">
        <v>0.1863235</v>
      </c>
      <c r="C3" s="14">
        <v>1</v>
      </c>
      <c r="D3" s="15"/>
      <c r="E3" s="15"/>
      <c r="F3" s="15"/>
      <c r="G3" s="15"/>
      <c r="H3" s="15"/>
      <c r="I3" s="15"/>
      <c r="J3" s="7"/>
      <c r="K3" t="str">
        <f>_xlfn.CONCAT("CramerV( turnover_limpo$",$B$1,",","turnover_limpo$",A3, ")")</f>
        <v>CramerV( turnover_limpo$gender  ,turnover_limpo$industry  )</v>
      </c>
      <c r="L3" t="str">
        <f>_xlfn.CONCAT("CramerV( turnover_limpo$",$C$1,",","turnover_limpo$",A3, ")")</f>
        <v>CramerV( turnover_limpo$industry  ,turnover_limpo$industry  )</v>
      </c>
      <c r="M3" t="str">
        <f>_xlfn.CONCAT("CramerV( turnover_limpo$",$D$1,",","turnover_limpo$",A3, ")")</f>
        <v>CramerV( turnover_limpo$profession  ,turnover_limpo$industry  )</v>
      </c>
      <c r="N3" t="str">
        <f>_xlfn.CONCAT("CramerV( turnover_limpo$",$E$1,",","turnover_limpo$",A3, ")")</f>
        <v>CramerV( turnover_limpo$traffic  ,turnover_limpo$industry  )</v>
      </c>
      <c r="O3" t="str">
        <f>_xlfn.CONCAT("CramerV( turnover_limpo$",$F$1,",","turnover_limpo$",A3, ")")</f>
        <v>CramerV( turnover_limpo$coach  ,turnover_limpo$industry  )</v>
      </c>
      <c r="P3" t="str">
        <f>_xlfn.CONCAT("CramerV( turnover_limpo$",$G$1,",","turnover_limpo$",A3, ")")</f>
        <v>CramerV( turnover_limpo$head_gender  ,turnover_limpo$industry  )</v>
      </c>
      <c r="Q3" t="str">
        <f>_xlfn.CONCAT("CramerV( turnover_limpo$",$H$1,",","turnover_limpo$",A3, ")")</f>
        <v>CramerV( turnover_limpo$greywage  ,turnover_limpo$industry  )</v>
      </c>
      <c r="R3" t="str">
        <f t="shared" ref="R3:R9" si="0">_xlfn.CONCAT("CramerV( turnover_limpo$",$I$1,",","turnover_limpo$",A3, ")")</f>
        <v>CramerV( turnover_limpo$way  ,turnover_limpo$industry  )</v>
      </c>
    </row>
    <row r="4" spans="1:18" x14ac:dyDescent="0.25">
      <c r="A4" s="13" t="s">
        <v>12</v>
      </c>
      <c r="B4" s="15">
        <v>0.49558930000000001</v>
      </c>
      <c r="C4" s="15">
        <v>0.23831939999999999</v>
      </c>
      <c r="D4" s="14">
        <v>1</v>
      </c>
      <c r="E4" s="15"/>
      <c r="F4" s="15"/>
      <c r="G4" s="15"/>
      <c r="H4" s="15"/>
      <c r="I4" s="15"/>
      <c r="J4" s="7"/>
      <c r="K4" t="str">
        <f>_xlfn.CONCAT("CramerV( turnover_limpo$",$B$1,",","turnover_limpo$",A4, ")")</f>
        <v>CramerV( turnover_limpo$gender  ,turnover_limpo$profession  )</v>
      </c>
      <c r="L4" t="str">
        <f>_xlfn.CONCAT("CramerV( turnover_limpo$",$C$1,",","turnover_limpo$",A4, ")")</f>
        <v>CramerV( turnover_limpo$industry  ,turnover_limpo$profession  )</v>
      </c>
      <c r="M4" t="str">
        <f>_xlfn.CONCAT("CramerV( turnover_limpo$",$D$1,",","turnover_limpo$",A4, ")")</f>
        <v>CramerV( turnover_limpo$profession  ,turnover_limpo$profession  )</v>
      </c>
      <c r="N4" t="str">
        <f>_xlfn.CONCAT("CramerV( turnover_limpo$",$E$1,",","turnover_limpo$",A4, ")")</f>
        <v>CramerV( turnover_limpo$traffic  ,turnover_limpo$profession  )</v>
      </c>
      <c r="O4" t="str">
        <f>_xlfn.CONCAT("CramerV( turnover_limpo$",$F$1,",","turnover_limpo$",A4, ")")</f>
        <v>CramerV( turnover_limpo$coach  ,turnover_limpo$profession  )</v>
      </c>
      <c r="P4" t="str">
        <f>_xlfn.CONCAT("CramerV( turnover_limpo$",$G$1,",","turnover_limpo$",A4, ")")</f>
        <v>CramerV( turnover_limpo$head_gender  ,turnover_limpo$profession  )</v>
      </c>
      <c r="Q4" t="str">
        <f>_xlfn.CONCAT("CramerV( turnover_limpo$",$H$1,",","turnover_limpo$",A4, ")")</f>
        <v>CramerV( turnover_limpo$greywage  ,turnover_limpo$profession  )</v>
      </c>
      <c r="R4" t="str">
        <f t="shared" si="0"/>
        <v>CramerV( turnover_limpo$way  ,turnover_limpo$profession  )</v>
      </c>
    </row>
    <row r="5" spans="1:18" x14ac:dyDescent="0.25">
      <c r="A5" s="13" t="s">
        <v>13</v>
      </c>
      <c r="B5" s="15">
        <v>0.1568532</v>
      </c>
      <c r="C5" s="15">
        <v>0.17210690000000001</v>
      </c>
      <c r="D5" s="15">
        <v>0.19441079999999999</v>
      </c>
      <c r="E5" s="15">
        <v>1</v>
      </c>
      <c r="F5" s="15"/>
      <c r="G5" s="15"/>
      <c r="H5" s="15"/>
      <c r="I5" s="15"/>
      <c r="J5" s="7"/>
      <c r="K5" t="str">
        <f>_xlfn.CONCAT("CramerV( turnover_limpo$",$B$1,",","turnover_limpo$",A5, ")")</f>
        <v>CramerV( turnover_limpo$gender  ,turnover_limpo$traffic  )</v>
      </c>
      <c r="L5" t="str">
        <f>_xlfn.CONCAT("CramerV( turnover_limpo$",$C$1,",","turnover_limpo$",A5, ")")</f>
        <v>CramerV( turnover_limpo$industry  ,turnover_limpo$traffic  )</v>
      </c>
      <c r="M5" t="str">
        <f>_xlfn.CONCAT("CramerV( turnover_limpo$",$D$1,",","turnover_limpo$",A5, ")")</f>
        <v>CramerV( turnover_limpo$profession  ,turnover_limpo$traffic  )</v>
      </c>
      <c r="N5" t="str">
        <f>_xlfn.CONCAT("CramerV( turnover_limpo$",$E$1,",","turnover_limpo$",A5, ")")</f>
        <v>CramerV( turnover_limpo$traffic  ,turnover_limpo$traffic  )</v>
      </c>
      <c r="O5" t="str">
        <f>_xlfn.CONCAT("CramerV( turnover_limpo$",$F$1,",","turnover_limpo$",A5, ")")</f>
        <v>CramerV( turnover_limpo$coach  ,turnover_limpo$traffic  )</v>
      </c>
      <c r="P5" t="str">
        <f>_xlfn.CONCAT("CramerV( turnover_limpo$",$G$1,",","turnover_limpo$",A5, ")")</f>
        <v>CramerV( turnover_limpo$head_gender  ,turnover_limpo$traffic  )</v>
      </c>
      <c r="Q5" t="str">
        <f>_xlfn.CONCAT("CramerV( turnover_limpo$",$H$1,",","turnover_limpo$",A5, ")")</f>
        <v>CramerV( turnover_limpo$greywage  ,turnover_limpo$traffic  )</v>
      </c>
      <c r="R5" t="str">
        <f t="shared" si="0"/>
        <v>CramerV( turnover_limpo$way  ,turnover_limpo$traffic  )</v>
      </c>
    </row>
    <row r="6" spans="1:18" x14ac:dyDescent="0.25">
      <c r="A6" s="12" t="s">
        <v>14</v>
      </c>
      <c r="B6" s="15">
        <v>7.7273809999999998E-2</v>
      </c>
      <c r="C6" s="15">
        <v>0.14740909999999999</v>
      </c>
      <c r="D6" s="15">
        <v>0.1213484</v>
      </c>
      <c r="E6" s="15">
        <v>0.1125463</v>
      </c>
      <c r="F6" s="15">
        <v>1</v>
      </c>
      <c r="G6" s="15"/>
      <c r="H6" s="15"/>
      <c r="I6" s="15"/>
      <c r="J6" s="7"/>
      <c r="K6" t="str">
        <f>_xlfn.CONCAT("CramerV( turnover_limpo$",$B$1,",","turnover_limpo$",A6, ")")</f>
        <v>CramerV( turnover_limpo$gender  ,turnover_limpo$coach  )</v>
      </c>
      <c r="L6" t="str">
        <f>_xlfn.CONCAT("CramerV( turnover_limpo$",$C$1,",","turnover_limpo$",A6, ")")</f>
        <v>CramerV( turnover_limpo$industry  ,turnover_limpo$coach  )</v>
      </c>
      <c r="M6" t="str">
        <f>_xlfn.CONCAT("CramerV( turnover_limpo$",$D$1,",","turnover_limpo$",A6, ")")</f>
        <v>CramerV( turnover_limpo$profession  ,turnover_limpo$coach  )</v>
      </c>
      <c r="N6" t="str">
        <f>_xlfn.CONCAT("CramerV( turnover_limpo$",$E$1,",","turnover_limpo$",A6, ")")</f>
        <v>CramerV( turnover_limpo$traffic  ,turnover_limpo$coach  )</v>
      </c>
      <c r="O6" t="str">
        <f>_xlfn.CONCAT("CramerV( turnover_limpo$",$F$1,",","turnover_limpo$",A6, ")")</f>
        <v>CramerV( turnover_limpo$coach  ,turnover_limpo$coach  )</v>
      </c>
      <c r="P6" t="str">
        <f>_xlfn.CONCAT("CramerV( turnover_limpo$",$G$1,",","turnover_limpo$",A6, ")")</f>
        <v>CramerV( turnover_limpo$head_gender  ,turnover_limpo$coach  )</v>
      </c>
      <c r="Q6" t="str">
        <f>_xlfn.CONCAT("CramerV( turnover_limpo$",$H$1,",","turnover_limpo$",A6, ")")</f>
        <v>CramerV( turnover_limpo$greywage  ,turnover_limpo$coach  )</v>
      </c>
      <c r="R6" t="str">
        <f t="shared" si="0"/>
        <v>CramerV( turnover_limpo$way  ,turnover_limpo$coach  )</v>
      </c>
    </row>
    <row r="7" spans="1:18" x14ac:dyDescent="0.25">
      <c r="A7" s="12" t="s">
        <v>15</v>
      </c>
      <c r="B7" s="15">
        <v>0.21130489999999999</v>
      </c>
      <c r="C7" s="15">
        <v>0.2445774</v>
      </c>
      <c r="D7" s="15">
        <v>0.33763860000000001</v>
      </c>
      <c r="E7" s="15">
        <v>0.1748479</v>
      </c>
      <c r="F7" s="15">
        <v>0.1087921</v>
      </c>
      <c r="G7" s="15">
        <v>1</v>
      </c>
      <c r="H7" s="15"/>
      <c r="I7" s="15"/>
      <c r="J7" s="7"/>
      <c r="K7" t="str">
        <f>_xlfn.CONCAT("CramerV( turnover_limpo$",$B$1,",","turnover_limpo$",A7, ")")</f>
        <v>CramerV( turnover_limpo$gender  ,turnover_limpo$head_gender  )</v>
      </c>
      <c r="L7" t="str">
        <f>_xlfn.CONCAT("CramerV( turnover_limpo$",$C$1,",","turnover_limpo$",A7, ")")</f>
        <v>CramerV( turnover_limpo$industry  ,turnover_limpo$head_gender  )</v>
      </c>
      <c r="M7" t="str">
        <f>_xlfn.CONCAT("CramerV( turnover_limpo$",$D$1,",","turnover_limpo$",A7, ")")</f>
        <v>CramerV( turnover_limpo$profession  ,turnover_limpo$head_gender  )</v>
      </c>
      <c r="N7" t="str">
        <f>_xlfn.CONCAT("CramerV( turnover_limpo$",$E$1,",","turnover_limpo$",A7, ")")</f>
        <v>CramerV( turnover_limpo$traffic  ,turnover_limpo$head_gender  )</v>
      </c>
      <c r="O7" t="str">
        <f>_xlfn.CONCAT("CramerV( turnover_limpo$",$F$1,",","turnover_limpo$",A7, ")")</f>
        <v>CramerV( turnover_limpo$coach  ,turnover_limpo$head_gender  )</v>
      </c>
      <c r="P7" t="str">
        <f>_xlfn.CONCAT("CramerV( turnover_limpo$",$G$1,",","turnover_limpo$",A7, ")")</f>
        <v>CramerV( turnover_limpo$head_gender  ,turnover_limpo$head_gender  )</v>
      </c>
      <c r="Q7" t="str">
        <f>_xlfn.CONCAT("CramerV( turnover_limpo$",$H$1,",","turnover_limpo$",A7, ")")</f>
        <v>CramerV( turnover_limpo$greywage  ,turnover_limpo$head_gender  )</v>
      </c>
      <c r="R7" t="str">
        <f t="shared" si="0"/>
        <v>CramerV( turnover_limpo$way  ,turnover_limpo$head_gender  )</v>
      </c>
    </row>
    <row r="8" spans="1:18" x14ac:dyDescent="0.25">
      <c r="A8" s="13" t="s">
        <v>16</v>
      </c>
      <c r="B8" s="15">
        <v>1.9874380000000001E-2</v>
      </c>
      <c r="C8" s="15">
        <v>0.15171999999999999</v>
      </c>
      <c r="D8" s="15">
        <v>0.16158890000000001</v>
      </c>
      <c r="E8" s="15">
        <v>0.10699740000000001</v>
      </c>
      <c r="F8" s="15">
        <v>5.4919660000000002E-2</v>
      </c>
      <c r="G8" s="15">
        <v>2.9768639999999999E-2</v>
      </c>
      <c r="H8" s="15">
        <v>1</v>
      </c>
      <c r="I8" s="15"/>
      <c r="J8" s="7"/>
      <c r="K8" t="str">
        <f>_xlfn.CONCAT("CramerV( turnover_limpo$",$B$1,",","turnover_limpo$",A8, ")")</f>
        <v>CramerV( turnover_limpo$gender  ,turnover_limpo$greywage  )</v>
      </c>
      <c r="L8" t="str">
        <f>_xlfn.CONCAT("CramerV( turnover_limpo$",$C$1,",","turnover_limpo$",A8, ")")</f>
        <v>CramerV( turnover_limpo$industry  ,turnover_limpo$greywage  )</v>
      </c>
      <c r="M8" t="str">
        <f>_xlfn.CONCAT("CramerV( turnover_limpo$",$D$1,",","turnover_limpo$",A8, ")")</f>
        <v>CramerV( turnover_limpo$profession  ,turnover_limpo$greywage  )</v>
      </c>
      <c r="N8" t="str">
        <f>_xlfn.CONCAT("CramerV( turnover_limpo$",$E$1,",","turnover_limpo$",A8, ")")</f>
        <v>CramerV( turnover_limpo$traffic  ,turnover_limpo$greywage  )</v>
      </c>
      <c r="O8" t="str">
        <f>_xlfn.CONCAT("CramerV( turnover_limpo$",$F$1,",","turnover_limpo$",A8, ")")</f>
        <v>CramerV( turnover_limpo$coach  ,turnover_limpo$greywage  )</v>
      </c>
      <c r="P8" t="str">
        <f>_xlfn.CONCAT("CramerV( turnover_limpo$",$G$1,",","turnover_limpo$",A8, ")")</f>
        <v>CramerV( turnover_limpo$head_gender  ,turnover_limpo$greywage  )</v>
      </c>
      <c r="Q8" t="str">
        <f>_xlfn.CONCAT("CramerV( turnover_limpo$",$H$1,",","turnover_limpo$",A8, ")")</f>
        <v>CramerV( turnover_limpo$greywage  ,turnover_limpo$greywage  )</v>
      </c>
      <c r="R8" t="str">
        <f t="shared" si="0"/>
        <v>CramerV( turnover_limpo$way  ,turnover_limpo$greywage  )</v>
      </c>
    </row>
    <row r="9" spans="1:18" x14ac:dyDescent="0.25">
      <c r="A9" s="13" t="s">
        <v>17</v>
      </c>
      <c r="B9" s="15">
        <v>0.12719040000000001</v>
      </c>
      <c r="C9" s="15">
        <v>0.20484140000000001</v>
      </c>
      <c r="D9" s="15">
        <v>0.17025589999999999</v>
      </c>
      <c r="E9" s="15">
        <v>0.22651840000000001</v>
      </c>
      <c r="F9" s="15">
        <v>7.9533030000000005E-2</v>
      </c>
      <c r="G9" s="15">
        <v>0.1016543</v>
      </c>
      <c r="H9" s="15">
        <v>0.10289760000000001</v>
      </c>
      <c r="I9" s="15">
        <v>1</v>
      </c>
      <c r="J9" s="7"/>
      <c r="K9" t="str">
        <f>_xlfn.CONCAT("CramerV( turnover_limpo$",$B$1,",","turnover_limpo$",A9, ")")</f>
        <v>CramerV( turnover_limpo$gender  ,turnover_limpo$way  )</v>
      </c>
      <c r="L9" t="str">
        <f>_xlfn.CONCAT("CramerV( turnover_limpo$",$C$1,",","turnover_limpo$",A9, ")")</f>
        <v>CramerV( turnover_limpo$industry  ,turnover_limpo$way  )</v>
      </c>
      <c r="M9" t="str">
        <f>_xlfn.CONCAT("CramerV( turnover_limpo$",$D$1,",","turnover_limpo$",A9, ")")</f>
        <v>CramerV( turnover_limpo$profession  ,turnover_limpo$way  )</v>
      </c>
      <c r="N9" t="str">
        <f>_xlfn.CONCAT("CramerV( turnover_limpo$",$E$1,",","turnover_limpo$",A9, ")")</f>
        <v>CramerV( turnover_limpo$traffic  ,turnover_limpo$way  )</v>
      </c>
      <c r="O9" t="str">
        <f>_xlfn.CONCAT("CramerV( turnover_limpo$",$F$1,",","turnover_limpo$",A9, ")")</f>
        <v>CramerV( turnover_limpo$coach  ,turnover_limpo$way  )</v>
      </c>
      <c r="P9" t="str">
        <f>_xlfn.CONCAT("CramerV( turnover_limpo$",$G$1,",","turnover_limpo$",A9, ")")</f>
        <v>CramerV( turnover_limpo$head_gender  ,turnover_limpo$way  )</v>
      </c>
      <c r="Q9" t="str">
        <f>_xlfn.CONCAT("CramerV( turnover_limpo$",$H$1,",","turnover_limpo$",A9, ")")</f>
        <v>CramerV( turnover_limpo$greywage  ,turnover_limpo$way  )</v>
      </c>
      <c r="R9" t="str">
        <f t="shared" si="0"/>
        <v>CramerV( turnover_limpo$way  ,turnover_limpo$way  )</v>
      </c>
    </row>
  </sheetData>
  <conditionalFormatting sqref="B2:I9">
    <cfRule type="cellIs" dxfId="0" priority="4" operator="between">
      <formula>0</formula>
      <formula>0.3</formula>
    </cfRule>
    <cfRule type="cellIs" dxfId="1" priority="2" operator="between">
      <formula>0.3</formula>
      <formula>0.6</formula>
    </cfRule>
    <cfRule type="cellIs" dxfId="2" priority="1" operator="between">
      <formula>0.6</formula>
      <formula>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Rank Medidas</vt:lpstr>
      <vt:lpstr>Log Normal</vt:lpstr>
      <vt:lpstr>Weibull</vt:lpstr>
      <vt:lpstr>Exponencial</vt:lpstr>
      <vt:lpstr>Log Logistica</vt:lpstr>
      <vt:lpstr>Extremo Padrão</vt:lpstr>
      <vt:lpstr>Extremo</vt:lpstr>
      <vt:lpstr>Gaussiana</vt:lpstr>
      <vt:lpstr>logística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2026-06-16T18:33:15Z</dcterms:created>
  <dcterms:modified xsi:type="dcterms:W3CDTF">2026-07-09T19:48:32Z</dcterms:modified>
</cp:coreProperties>
</file>